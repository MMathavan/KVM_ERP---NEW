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cuments\"/>
    </mc:Choice>
  </mc:AlternateContent>
  <bookViews>
    <workbookView xWindow="0" yWindow="0" windowWidth="23040" windowHeight="9072"/>
  </bookViews>
  <sheets>
    <sheet name="21 BOX" sheetId="1" r:id="rId1"/>
    <sheet name="24 BOX" sheetId="2" r:id="rId2"/>
    <sheet name="15 BOX"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9" i="3" l="1"/>
  <c r="D36" i="3" s="1"/>
  <c r="F36" i="3" s="1"/>
  <c r="D40" i="3" s="1"/>
  <c r="G27" i="3"/>
  <c r="G26" i="3"/>
  <c r="G25" i="3"/>
  <c r="G24" i="3"/>
  <c r="G23" i="3"/>
  <c r="G22" i="3"/>
  <c r="G21" i="3"/>
  <c r="G20" i="3"/>
  <c r="G19" i="3"/>
  <c r="G18" i="3"/>
  <c r="G17" i="3"/>
  <c r="G16" i="3"/>
  <c r="G15" i="3"/>
  <c r="G14" i="3"/>
  <c r="G13" i="3"/>
  <c r="G12" i="3"/>
  <c r="G12" i="1"/>
  <c r="G13" i="1"/>
  <c r="G14" i="1"/>
  <c r="G15" i="1"/>
  <c r="G16" i="1"/>
  <c r="G17" i="1"/>
  <c r="G18" i="1"/>
  <c r="G19" i="1"/>
  <c r="G20" i="1"/>
  <c r="G21" i="1"/>
  <c r="G22" i="1"/>
  <c r="G23" i="1"/>
  <c r="G24" i="1"/>
  <c r="G25" i="1"/>
  <c r="G26" i="1"/>
  <c r="G27" i="1"/>
  <c r="G12" i="2"/>
  <c r="G13" i="2"/>
  <c r="G14" i="2"/>
  <c r="G15" i="2"/>
  <c r="G16" i="2"/>
  <c r="G17" i="2"/>
  <c r="G18" i="2"/>
  <c r="G19" i="2"/>
  <c r="G20" i="2"/>
  <c r="G21" i="2"/>
  <c r="G22" i="2"/>
  <c r="G23" i="2"/>
  <c r="G24" i="2"/>
  <c r="G25" i="2"/>
  <c r="G26" i="2"/>
  <c r="G27" i="2"/>
  <c r="E29" i="2"/>
  <c r="D36" i="2" s="1"/>
  <c r="F36" i="2" s="1"/>
  <c r="D40" i="2" s="1"/>
  <c r="D40" i="1"/>
  <c r="F36" i="1"/>
  <c r="D36" i="1"/>
  <c r="E29" i="1"/>
  <c r="G29" i="3" l="1"/>
  <c r="G33" i="3" s="1"/>
  <c r="I33" i="3" s="1"/>
  <c r="K33" i="3" s="1"/>
  <c r="G29" i="1"/>
  <c r="G33" i="1" s="1"/>
  <c r="I33" i="1" s="1"/>
  <c r="K33" i="1" s="1"/>
  <c r="G29" i="2"/>
  <c r="G33" i="2" s="1"/>
  <c r="I33" i="2" s="1"/>
  <c r="K33" i="2" s="1"/>
</calcChain>
</file>

<file path=xl/sharedStrings.xml><?xml version="1.0" encoding="utf-8"?>
<sst xmlns="http://schemas.openxmlformats.org/spreadsheetml/2006/main" count="123" uniqueCount="47">
  <si>
    <t>KV Marine Purchase Calculation</t>
  </si>
  <si>
    <t>Module - 1</t>
  </si>
  <si>
    <t>for eg</t>
  </si>
  <si>
    <t>The Party name, Purchase Weight, factory Weight, Variety, Count etc provided</t>
  </si>
  <si>
    <t>If Supplier told 29C in 21 Boxes</t>
  </si>
  <si>
    <t>The supplier gives the Huge amount of product to the Customer in which the values are like this for eg .., 21 Box with 29 count means per box 29 count    29C = 21 Box</t>
  </si>
  <si>
    <t>8 -12</t>
  </si>
  <si>
    <t>13 - 15</t>
  </si>
  <si>
    <t>16 - 20</t>
  </si>
  <si>
    <t>21 - 25</t>
  </si>
  <si>
    <t>26 - 30</t>
  </si>
  <si>
    <t>31 - 35</t>
  </si>
  <si>
    <t>36 - 40</t>
  </si>
  <si>
    <t>41 - 50</t>
  </si>
  <si>
    <t>51 - 60</t>
  </si>
  <si>
    <t>61 - 70</t>
  </si>
  <si>
    <t>71 - 90</t>
  </si>
  <si>
    <t>91 - 110</t>
  </si>
  <si>
    <t>111 - 130</t>
  </si>
  <si>
    <t>131 - 150</t>
  </si>
  <si>
    <t>151 - 200</t>
  </si>
  <si>
    <t>Based on the Machine count</t>
  </si>
  <si>
    <t>U - 5</t>
  </si>
  <si>
    <t>6 - 8</t>
  </si>
  <si>
    <t>Last Value in the Slab</t>
  </si>
  <si>
    <t>Machine Count * Last Value</t>
  </si>
  <si>
    <t>The Supplier tells 29C with 21 Box, but we calculate by machine and also checked and calculated manually</t>
  </si>
  <si>
    <t>Sum of the Machine Count</t>
  </si>
  <si>
    <t>SLAB (Head Less)</t>
  </si>
  <si>
    <t>Calculate Per Slab Quantity Based on the Machine</t>
  </si>
  <si>
    <t>This Value is Total Quantity of Machine / Sum of Machine Count</t>
  </si>
  <si>
    <t>Below value is Conversion from Pounds to Kgs..,(IT IS FIXED RATE)</t>
  </si>
  <si>
    <t>Multiply Average * Kgs Value</t>
  </si>
  <si>
    <t>Below one is Yield Percent(%) Value.(IT IS NOT A FIXED VALUE)</t>
  </si>
  <si>
    <t>TOTAL COUNT BASED ON THE MACHINE CALCULATION IS THE BELOW VALUE</t>
  </si>
  <si>
    <t>Weight for per Kg.(IT IS NOT A FIXED VALUE)</t>
  </si>
  <si>
    <t>TOTAL WEIGHT</t>
  </si>
  <si>
    <t>Per Kgs Calulation is Sum of Machine Count * Per Kg Value</t>
  </si>
  <si>
    <t>Add with Wastage Product.(IT IS NOT A FIXED VALUE)</t>
  </si>
  <si>
    <t>TOTAL VALUE</t>
  </si>
  <si>
    <t>The Total Value is Divided by Yield Percent Value is the Total Weight of this Product</t>
  </si>
  <si>
    <t>The supplier gives the Huge amount of product to the Customer in which the values are like this for eg .., 24 Box with 39 count means per box 39 count    39C = 24 Box</t>
  </si>
  <si>
    <t>The Supplier tells 39C with 24 Box, but we calculate by machine and also checked and calculated manually</t>
  </si>
  <si>
    <t>If Supplier told 39C in 24 Boxes</t>
  </si>
  <si>
    <t>The supplier gives the Huge amount of product to the Customer in which the values are like this for eg .., 15 Box with 48 count means per box 48 count    48C = 15 Box</t>
  </si>
  <si>
    <t>The Supplier tells 48C with 15 Box, but we calculate by machine and also checked and calculated manually</t>
  </si>
  <si>
    <t>If Supplier told 48C in 15 Boxes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</si>
</sst>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22"/>
      <color theme="1"/>
      <name val="Calibri"/>
      <family val="2"/>
      <scheme val="minor"/>
    </font>
    <font>
      <b/>
      <sz val="11"/>
      <color rgb="FFFF0000"/>
      <name val="Calibri"/>
      <family val="2"/>
      <scheme val="minor"/>
    </font>
    <font>
      <b/>
      <sz val="11"/>
      <color rgb="FF00B0F0"/>
      <name val="Calibri"/>
      <family val="2"/>
      <scheme val="minor"/>
    </font>
    <font>
      <b/>
      <sz val="11"/>
      <color theme="7" tint="-0.249977111117893"/>
      <name val="Calibri"/>
      <family val="2"/>
      <scheme val="minor"/>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0" fillId="0" borderId="0" xfId="0" applyAlignment="1">
      <alignment horizontal="left" wrapText="1"/>
    </xf>
    <xf numFmtId="0" fontId="0" fillId="0" borderId="0" xfId="0" applyAlignment="1">
      <alignment wrapText="1"/>
    </xf>
    <xf numFmtId="0" fontId="0" fillId="0" borderId="0" xfId="0" applyAlignment="1">
      <alignment horizontal="center"/>
    </xf>
    <xf numFmtId="49" fontId="0" fillId="0" borderId="0" xfId="0" applyNumberFormat="1" applyAlignment="1">
      <alignment horizontal="center"/>
    </xf>
    <xf numFmtId="0" fontId="1" fillId="0" borderId="0" xfId="0" applyFont="1"/>
    <xf numFmtId="0" fontId="1" fillId="0" borderId="0" xfId="0" applyFont="1" applyAlignment="1">
      <alignment horizontal="right"/>
    </xf>
    <xf numFmtId="0" fontId="1" fillId="0" borderId="0" xfId="0" applyFont="1" applyAlignment="1">
      <alignment horizontal="right" wrapText="1"/>
    </xf>
    <xf numFmtId="0" fontId="2"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horizontal="center" vertical="center" wrapText="1"/>
    </xf>
    <xf numFmtId="0" fontId="3" fillId="0" borderId="0" xfId="0" applyFont="1"/>
    <xf numFmtId="0" fontId="4" fillId="0" borderId="0" xfId="0" applyFont="1"/>
    <xf numFmtId="0" fontId="5" fillId="0" borderId="0" xfId="0" applyFont="1"/>
    <xf numFmtId="10" fontId="3" fillId="0" borderId="0" xfId="0" applyNumberFormat="1" applyFont="1"/>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40"/>
  <sheetViews>
    <sheetView tabSelected="1" workbookViewId="0">
      <selection activeCell="D13" sqref="D13"/>
    </sheetView>
  </sheetViews>
  <sheetFormatPr defaultRowHeight="14.4" x14ac:dyDescent="0.3"/>
  <cols>
    <col min="1" max="1" width="7.33203125" customWidth="1"/>
    <col min="2" max="2" width="51.109375" customWidth="1"/>
    <col min="3" max="3" width="39" bestFit="1" customWidth="1"/>
    <col min="4" max="4" width="27.6640625" customWidth="1"/>
    <col min="5" max="5" width="24.44140625" bestFit="1" customWidth="1"/>
    <col min="6" max="6" width="23.109375" customWidth="1"/>
    <col min="7" max="7" width="23.88671875" bestFit="1" customWidth="1"/>
    <col min="8" max="8" width="22.21875" customWidth="1"/>
    <col min="9" max="9" width="17" bestFit="1" customWidth="1"/>
    <col min="10" max="10" width="21.21875" customWidth="1"/>
    <col min="11" max="11" width="56.88671875" bestFit="1" customWidth="1"/>
  </cols>
  <sheetData>
    <row r="1" spans="3:7" ht="86.4" x14ac:dyDescent="0.3">
      <c r="E1" s="9" t="s">
        <v>0</v>
      </c>
    </row>
    <row r="3" spans="3:7" x14ac:dyDescent="0.3">
      <c r="E3" s="1" t="s">
        <v>1</v>
      </c>
    </row>
    <row r="5" spans="3:7" ht="86.4" x14ac:dyDescent="0.3">
      <c r="D5" s="2" t="s">
        <v>5</v>
      </c>
      <c r="E5" s="3" t="s">
        <v>3</v>
      </c>
      <c r="F5" s="3" t="s">
        <v>26</v>
      </c>
    </row>
    <row r="7" spans="3:7" x14ac:dyDescent="0.3">
      <c r="C7" t="s">
        <v>2</v>
      </c>
      <c r="D7" t="s">
        <v>4</v>
      </c>
    </row>
    <row r="9" spans="3:7" x14ac:dyDescent="0.3">
      <c r="C9" s="3"/>
      <c r="D9" s="1" t="s">
        <v>28</v>
      </c>
      <c r="E9" s="1" t="s">
        <v>21</v>
      </c>
      <c r="F9" s="1" t="s">
        <v>24</v>
      </c>
      <c r="G9" s="1" t="s">
        <v>25</v>
      </c>
    </row>
    <row r="10" spans="3:7" x14ac:dyDescent="0.3">
      <c r="C10" s="3"/>
      <c r="D10" s="4"/>
    </row>
    <row r="11" spans="3:7" x14ac:dyDescent="0.3">
      <c r="C11" s="3"/>
      <c r="D11" s="4" t="s">
        <v>22</v>
      </c>
    </row>
    <row r="12" spans="3:7" x14ac:dyDescent="0.3">
      <c r="D12" s="5" t="s">
        <v>23</v>
      </c>
      <c r="F12">
        <v>8</v>
      </c>
      <c r="G12">
        <f t="shared" ref="G12:G27" si="0">E12*F12</f>
        <v>0</v>
      </c>
    </row>
    <row r="13" spans="3:7" x14ac:dyDescent="0.3">
      <c r="D13" s="5" t="s">
        <v>6</v>
      </c>
      <c r="E13">
        <v>2</v>
      </c>
      <c r="F13">
        <v>12</v>
      </c>
      <c r="G13">
        <f t="shared" si="0"/>
        <v>24</v>
      </c>
    </row>
    <row r="14" spans="3:7" x14ac:dyDescent="0.3">
      <c r="D14" s="4" t="s">
        <v>7</v>
      </c>
      <c r="E14">
        <v>9</v>
      </c>
      <c r="F14">
        <v>15</v>
      </c>
      <c r="G14">
        <f t="shared" si="0"/>
        <v>135</v>
      </c>
    </row>
    <row r="15" spans="3:7" x14ac:dyDescent="0.3">
      <c r="D15" s="4" t="s">
        <v>8</v>
      </c>
      <c r="E15">
        <v>71</v>
      </c>
      <c r="F15">
        <v>20</v>
      </c>
      <c r="G15">
        <f t="shared" si="0"/>
        <v>1420</v>
      </c>
    </row>
    <row r="16" spans="3:7" x14ac:dyDescent="0.3">
      <c r="D16" s="4" t="s">
        <v>9</v>
      </c>
      <c r="E16">
        <v>64</v>
      </c>
      <c r="F16">
        <v>25</v>
      </c>
      <c r="G16">
        <f t="shared" si="0"/>
        <v>1600</v>
      </c>
    </row>
    <row r="17" spans="4:11" x14ac:dyDescent="0.3">
      <c r="D17" s="4" t="s">
        <v>10</v>
      </c>
      <c r="E17">
        <v>38</v>
      </c>
      <c r="F17">
        <v>30</v>
      </c>
      <c r="G17">
        <f t="shared" si="0"/>
        <v>1140</v>
      </c>
    </row>
    <row r="18" spans="4:11" x14ac:dyDescent="0.3">
      <c r="D18" s="4" t="s">
        <v>11</v>
      </c>
      <c r="E18">
        <v>0</v>
      </c>
      <c r="F18">
        <v>35</v>
      </c>
      <c r="G18">
        <f t="shared" si="0"/>
        <v>0</v>
      </c>
    </row>
    <row r="19" spans="4:11" x14ac:dyDescent="0.3">
      <c r="D19" s="4" t="s">
        <v>12</v>
      </c>
      <c r="E19">
        <v>4</v>
      </c>
      <c r="F19">
        <v>40</v>
      </c>
      <c r="G19">
        <f t="shared" si="0"/>
        <v>160</v>
      </c>
    </row>
    <row r="20" spans="4:11" x14ac:dyDescent="0.3">
      <c r="D20" s="4" t="s">
        <v>13</v>
      </c>
      <c r="E20">
        <v>1</v>
      </c>
      <c r="F20">
        <v>50</v>
      </c>
      <c r="G20">
        <f t="shared" si="0"/>
        <v>50</v>
      </c>
    </row>
    <row r="21" spans="4:11" x14ac:dyDescent="0.3">
      <c r="D21" s="4" t="s">
        <v>14</v>
      </c>
      <c r="E21">
        <v>1</v>
      </c>
      <c r="F21">
        <v>60</v>
      </c>
      <c r="G21">
        <f t="shared" si="0"/>
        <v>60</v>
      </c>
    </row>
    <row r="22" spans="4:11" x14ac:dyDescent="0.3">
      <c r="D22" s="4" t="s">
        <v>15</v>
      </c>
      <c r="F22">
        <v>70</v>
      </c>
      <c r="G22">
        <f t="shared" si="0"/>
        <v>0</v>
      </c>
    </row>
    <row r="23" spans="4:11" x14ac:dyDescent="0.3">
      <c r="D23" s="4" t="s">
        <v>16</v>
      </c>
      <c r="F23">
        <v>90</v>
      </c>
      <c r="G23">
        <f t="shared" si="0"/>
        <v>0</v>
      </c>
    </row>
    <row r="24" spans="4:11" x14ac:dyDescent="0.3">
      <c r="D24" s="4" t="s">
        <v>17</v>
      </c>
      <c r="F24">
        <v>110</v>
      </c>
      <c r="G24">
        <f t="shared" si="0"/>
        <v>0</v>
      </c>
    </row>
    <row r="25" spans="4:11" x14ac:dyDescent="0.3">
      <c r="D25" s="4" t="s">
        <v>18</v>
      </c>
      <c r="F25">
        <v>130</v>
      </c>
      <c r="G25">
        <f t="shared" si="0"/>
        <v>0</v>
      </c>
    </row>
    <row r="26" spans="4:11" x14ac:dyDescent="0.3">
      <c r="D26" s="4" t="s">
        <v>19</v>
      </c>
      <c r="F26">
        <v>150</v>
      </c>
      <c r="G26">
        <f t="shared" si="0"/>
        <v>0</v>
      </c>
    </row>
    <row r="27" spans="4:11" x14ac:dyDescent="0.3">
      <c r="D27" s="4" t="s">
        <v>20</v>
      </c>
      <c r="F27">
        <v>200</v>
      </c>
      <c r="G27">
        <f t="shared" si="0"/>
        <v>0</v>
      </c>
    </row>
    <row r="29" spans="4:11" ht="43.2" x14ac:dyDescent="0.3">
      <c r="D29" s="7" t="s">
        <v>27</v>
      </c>
      <c r="E29" s="7">
        <f>SUM(E10:E27)</f>
        <v>190</v>
      </c>
      <c r="F29" s="8" t="s">
        <v>29</v>
      </c>
      <c r="G29" s="7">
        <f>SUM(G10:G27)</f>
        <v>4589</v>
      </c>
    </row>
    <row r="32" spans="4:11" ht="58.2" thickBot="1" x14ac:dyDescent="0.35">
      <c r="H32" s="8" t="s">
        <v>31</v>
      </c>
      <c r="I32" s="8" t="s">
        <v>32</v>
      </c>
      <c r="J32" s="8" t="s">
        <v>33</v>
      </c>
      <c r="K32" s="11" t="s">
        <v>34</v>
      </c>
    </row>
    <row r="33" spans="2:11" ht="43.8" thickBot="1" x14ac:dyDescent="0.35">
      <c r="F33" s="8" t="s">
        <v>30</v>
      </c>
      <c r="G33" s="6">
        <f>G29/E29</f>
        <v>24.152631578947368</v>
      </c>
      <c r="H33" s="12">
        <v>2.2000000000000002</v>
      </c>
      <c r="I33" s="6">
        <f>G33*H33</f>
        <v>53.135789473684213</v>
      </c>
      <c r="J33" s="15">
        <v>0.625</v>
      </c>
      <c r="K33" s="16">
        <f>I33*J33</f>
        <v>33.209868421052633</v>
      </c>
    </row>
    <row r="35" spans="2:11" ht="43.2" x14ac:dyDescent="0.3">
      <c r="C35" s="8" t="s">
        <v>35</v>
      </c>
      <c r="D35" s="8" t="s">
        <v>37</v>
      </c>
      <c r="E35" s="8" t="s">
        <v>38</v>
      </c>
      <c r="F35" s="7" t="s">
        <v>39</v>
      </c>
      <c r="K35" s="11"/>
    </row>
    <row r="36" spans="2:11" x14ac:dyDescent="0.3">
      <c r="C36" s="13">
        <v>1.83</v>
      </c>
      <c r="D36" s="14">
        <f>E29*C36</f>
        <v>347.7</v>
      </c>
      <c r="E36" s="6">
        <v>9</v>
      </c>
      <c r="F36" s="6">
        <f>D36+E36</f>
        <v>356.7</v>
      </c>
    </row>
    <row r="38" spans="2:11" x14ac:dyDescent="0.3">
      <c r="B38" s="8" t="s">
        <v>36</v>
      </c>
    </row>
    <row r="39" spans="2:11" ht="15" thickBot="1" x14ac:dyDescent="0.35"/>
    <row r="40" spans="2:11" ht="29.4" thickBot="1" x14ac:dyDescent="0.35">
      <c r="C40" s="10" t="s">
        <v>40</v>
      </c>
      <c r="D40" s="16">
        <f>F36/J33</f>
        <v>570.72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40"/>
  <sheetViews>
    <sheetView topLeftCell="C31" workbookViewId="0">
      <selection activeCell="D50" sqref="D50"/>
    </sheetView>
  </sheetViews>
  <sheetFormatPr defaultRowHeight="14.4" x14ac:dyDescent="0.3"/>
  <cols>
    <col min="1" max="1" width="7.33203125" customWidth="1"/>
    <col min="2" max="2" width="51.109375" customWidth="1"/>
    <col min="3" max="3" width="39" bestFit="1" customWidth="1"/>
    <col min="4" max="4" width="27.6640625" customWidth="1"/>
    <col min="5" max="5" width="24.44140625" bestFit="1" customWidth="1"/>
    <col min="6" max="6" width="23.109375" customWidth="1"/>
    <col min="7" max="7" width="23.88671875" bestFit="1" customWidth="1"/>
    <col min="8" max="8" width="22.21875" customWidth="1"/>
    <col min="9" max="9" width="17" bestFit="1" customWidth="1"/>
    <col min="10" max="10" width="21.21875" customWidth="1"/>
    <col min="11" max="11" width="56.88671875" bestFit="1" customWidth="1"/>
  </cols>
  <sheetData>
    <row r="1" spans="3:7" ht="86.4" x14ac:dyDescent="0.3">
      <c r="E1" s="9" t="s">
        <v>0</v>
      </c>
    </row>
    <row r="3" spans="3:7" x14ac:dyDescent="0.3">
      <c r="E3" s="1" t="s">
        <v>1</v>
      </c>
    </row>
    <row r="5" spans="3:7" ht="86.4" x14ac:dyDescent="0.3">
      <c r="D5" s="2" t="s">
        <v>41</v>
      </c>
      <c r="E5" s="3" t="s">
        <v>3</v>
      </c>
      <c r="F5" s="3" t="s">
        <v>42</v>
      </c>
    </row>
    <row r="7" spans="3:7" x14ac:dyDescent="0.3">
      <c r="C7" t="s">
        <v>2</v>
      </c>
      <c r="D7" t="s">
        <v>43</v>
      </c>
    </row>
    <row r="9" spans="3:7" x14ac:dyDescent="0.3">
      <c r="C9" s="3"/>
      <c r="D9" s="1" t="s">
        <v>28</v>
      </c>
      <c r="E9" s="1" t="s">
        <v>21</v>
      </c>
      <c r="F9" s="1" t="s">
        <v>24</v>
      </c>
      <c r="G9" s="1" t="s">
        <v>25</v>
      </c>
    </row>
    <row r="10" spans="3:7" x14ac:dyDescent="0.3">
      <c r="C10" s="3"/>
      <c r="D10" s="4"/>
    </row>
    <row r="11" spans="3:7" x14ac:dyDescent="0.3">
      <c r="C11" s="3"/>
      <c r="D11" s="4" t="s">
        <v>22</v>
      </c>
    </row>
    <row r="12" spans="3:7" x14ac:dyDescent="0.3">
      <c r="D12" s="5" t="s">
        <v>23</v>
      </c>
      <c r="F12">
        <v>8</v>
      </c>
      <c r="G12">
        <f t="shared" ref="G12:G27" si="0">E12*F12</f>
        <v>0</v>
      </c>
    </row>
    <row r="13" spans="3:7" x14ac:dyDescent="0.3">
      <c r="D13" s="5" t="s">
        <v>6</v>
      </c>
      <c r="F13">
        <v>12</v>
      </c>
      <c r="G13">
        <f t="shared" si="0"/>
        <v>0</v>
      </c>
    </row>
    <row r="14" spans="3:7" x14ac:dyDescent="0.3">
      <c r="D14" s="4" t="s">
        <v>7</v>
      </c>
      <c r="E14">
        <v>8</v>
      </c>
      <c r="F14">
        <v>15</v>
      </c>
      <c r="G14">
        <f t="shared" si="0"/>
        <v>120</v>
      </c>
    </row>
    <row r="15" spans="3:7" x14ac:dyDescent="0.3">
      <c r="D15" s="4" t="s">
        <v>8</v>
      </c>
      <c r="E15">
        <v>24</v>
      </c>
      <c r="F15">
        <v>20</v>
      </c>
      <c r="G15">
        <f t="shared" si="0"/>
        <v>480</v>
      </c>
    </row>
    <row r="16" spans="3:7" x14ac:dyDescent="0.3">
      <c r="D16" s="4" t="s">
        <v>9</v>
      </c>
      <c r="E16">
        <v>60</v>
      </c>
      <c r="F16">
        <v>25</v>
      </c>
      <c r="G16">
        <f t="shared" si="0"/>
        <v>1500</v>
      </c>
    </row>
    <row r="17" spans="4:11" x14ac:dyDescent="0.3">
      <c r="D17" s="4" t="s">
        <v>10</v>
      </c>
      <c r="E17">
        <v>72</v>
      </c>
      <c r="F17">
        <v>30</v>
      </c>
      <c r="G17">
        <f t="shared" si="0"/>
        <v>2160</v>
      </c>
    </row>
    <row r="18" spans="4:11" x14ac:dyDescent="0.3">
      <c r="D18" s="4" t="s">
        <v>11</v>
      </c>
      <c r="E18">
        <v>0</v>
      </c>
      <c r="F18">
        <v>35</v>
      </c>
      <c r="G18">
        <f t="shared" si="0"/>
        <v>0</v>
      </c>
    </row>
    <row r="19" spans="4:11" x14ac:dyDescent="0.3">
      <c r="D19" s="4" t="s">
        <v>12</v>
      </c>
      <c r="E19">
        <v>54</v>
      </c>
      <c r="F19">
        <v>40</v>
      </c>
      <c r="G19">
        <f t="shared" si="0"/>
        <v>2160</v>
      </c>
    </row>
    <row r="20" spans="4:11" x14ac:dyDescent="0.3">
      <c r="D20" s="4" t="s">
        <v>13</v>
      </c>
      <c r="E20">
        <v>4</v>
      </c>
      <c r="F20">
        <v>50</v>
      </c>
      <c r="G20">
        <f t="shared" si="0"/>
        <v>200</v>
      </c>
    </row>
    <row r="21" spans="4:11" x14ac:dyDescent="0.3">
      <c r="D21" s="4" t="s">
        <v>14</v>
      </c>
      <c r="E21">
        <v>3</v>
      </c>
      <c r="F21">
        <v>60</v>
      </c>
      <c r="G21">
        <f t="shared" si="0"/>
        <v>180</v>
      </c>
    </row>
    <row r="22" spans="4:11" x14ac:dyDescent="0.3">
      <c r="D22" s="4" t="s">
        <v>15</v>
      </c>
      <c r="E22">
        <v>0</v>
      </c>
      <c r="F22">
        <v>70</v>
      </c>
      <c r="G22">
        <f t="shared" si="0"/>
        <v>0</v>
      </c>
    </row>
    <row r="23" spans="4:11" x14ac:dyDescent="0.3">
      <c r="D23" s="4" t="s">
        <v>16</v>
      </c>
      <c r="E23">
        <v>1</v>
      </c>
      <c r="F23">
        <v>90</v>
      </c>
      <c r="G23">
        <f t="shared" si="0"/>
        <v>90</v>
      </c>
    </row>
    <row r="24" spans="4:11" x14ac:dyDescent="0.3">
      <c r="D24" s="4" t="s">
        <v>17</v>
      </c>
      <c r="F24">
        <v>110</v>
      </c>
      <c r="G24">
        <f t="shared" si="0"/>
        <v>0</v>
      </c>
    </row>
    <row r="25" spans="4:11" x14ac:dyDescent="0.3">
      <c r="D25" s="4" t="s">
        <v>18</v>
      </c>
      <c r="F25">
        <v>130</v>
      </c>
      <c r="G25">
        <f t="shared" si="0"/>
        <v>0</v>
      </c>
    </row>
    <row r="26" spans="4:11" x14ac:dyDescent="0.3">
      <c r="D26" s="4" t="s">
        <v>19</v>
      </c>
      <c r="F26">
        <v>150</v>
      </c>
      <c r="G26">
        <f t="shared" si="0"/>
        <v>0</v>
      </c>
    </row>
    <row r="27" spans="4:11" x14ac:dyDescent="0.3">
      <c r="D27" s="4" t="s">
        <v>20</v>
      </c>
      <c r="F27">
        <v>200</v>
      </c>
      <c r="G27">
        <f t="shared" si="0"/>
        <v>0</v>
      </c>
    </row>
    <row r="29" spans="4:11" ht="43.2" x14ac:dyDescent="0.3">
      <c r="D29" s="7" t="s">
        <v>27</v>
      </c>
      <c r="E29" s="7">
        <f>SUM(E10:E27)</f>
        <v>226</v>
      </c>
      <c r="F29" s="8" t="s">
        <v>29</v>
      </c>
      <c r="G29" s="7">
        <f>SUM(G10:G27)</f>
        <v>6890</v>
      </c>
    </row>
    <row r="32" spans="4:11" ht="58.2" thickBot="1" x14ac:dyDescent="0.35">
      <c r="H32" s="8" t="s">
        <v>31</v>
      </c>
      <c r="I32" s="8" t="s">
        <v>32</v>
      </c>
      <c r="J32" s="8" t="s">
        <v>33</v>
      </c>
      <c r="K32" s="11" t="s">
        <v>34</v>
      </c>
    </row>
    <row r="33" spans="2:11" ht="43.8" thickBot="1" x14ac:dyDescent="0.35">
      <c r="F33" s="8" t="s">
        <v>30</v>
      </c>
      <c r="G33" s="6">
        <f>G29/E29</f>
        <v>30.486725663716815</v>
      </c>
      <c r="H33" s="12">
        <v>2.2000000000000002</v>
      </c>
      <c r="I33" s="6">
        <f>G33*H33</f>
        <v>67.070796460176993</v>
      </c>
      <c r="J33" s="15">
        <v>0.625</v>
      </c>
      <c r="K33" s="16">
        <f>I33*J33</f>
        <v>41.919247787610622</v>
      </c>
    </row>
    <row r="35" spans="2:11" ht="43.2" x14ac:dyDescent="0.3">
      <c r="C35" s="8" t="s">
        <v>35</v>
      </c>
      <c r="D35" s="8" t="s">
        <v>37</v>
      </c>
      <c r="E35" s="8" t="s">
        <v>38</v>
      </c>
      <c r="F35" s="7" t="s">
        <v>39</v>
      </c>
      <c r="K35" s="11"/>
    </row>
    <row r="36" spans="2:11" x14ac:dyDescent="0.3">
      <c r="C36" s="13">
        <v>1.83</v>
      </c>
      <c r="D36" s="14">
        <f>E29*C36</f>
        <v>413.58000000000004</v>
      </c>
      <c r="E36" s="6">
        <v>20</v>
      </c>
      <c r="F36" s="6">
        <f>D36+E36</f>
        <v>433.58000000000004</v>
      </c>
    </row>
    <row r="38" spans="2:11" x14ac:dyDescent="0.3">
      <c r="B38" s="8" t="s">
        <v>36</v>
      </c>
    </row>
    <row r="39" spans="2:11" ht="15" thickBot="1" x14ac:dyDescent="0.35"/>
    <row r="40" spans="2:11" ht="29.4" thickBot="1" x14ac:dyDescent="0.35">
      <c r="C40" s="10" t="s">
        <v>40</v>
      </c>
      <c r="D40" s="16">
        <f>F36/J33</f>
        <v>693.72800000000007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40"/>
  <sheetViews>
    <sheetView topLeftCell="C28" workbookViewId="0">
      <selection activeCell="G40" sqref="G40"/>
    </sheetView>
  </sheetViews>
  <sheetFormatPr defaultRowHeight="14.4" x14ac:dyDescent="0.3"/>
  <cols>
    <col min="1" max="1" width="7.33203125" customWidth="1"/>
    <col min="2" max="2" width="51.109375" customWidth="1"/>
    <col min="3" max="3" width="39" bestFit="1" customWidth="1"/>
    <col min="4" max="4" width="27.6640625" customWidth="1"/>
    <col min="5" max="5" width="24.44140625" bestFit="1" customWidth="1"/>
    <col min="6" max="6" width="23.109375" customWidth="1"/>
    <col min="7" max="7" width="23.88671875" bestFit="1" customWidth="1"/>
    <col min="8" max="8" width="22.21875" customWidth="1"/>
    <col min="9" max="9" width="17" bestFit="1" customWidth="1"/>
    <col min="10" max="10" width="21.21875" customWidth="1"/>
    <col min="11" max="11" width="56.88671875" bestFit="1" customWidth="1"/>
  </cols>
  <sheetData>
    <row r="1" spans="3:7" ht="86.4" x14ac:dyDescent="0.3">
      <c r="E1" s="9" t="s">
        <v>0</v>
      </c>
    </row>
    <row r="3" spans="3:7" x14ac:dyDescent="0.3">
      <c r="E3" s="1" t="s">
        <v>1</v>
      </c>
    </row>
    <row r="5" spans="3:7" ht="86.4" x14ac:dyDescent="0.3">
      <c r="D5" s="2" t="s">
        <v>44</v>
      </c>
      <c r="E5" s="3" t="s">
        <v>3</v>
      </c>
      <c r="F5" s="3" t="s">
        <v>45</v>
      </c>
    </row>
    <row r="7" spans="3:7" x14ac:dyDescent="0.3">
      <c r="C7" t="s">
        <v>2</v>
      </c>
      <c r="D7" t="s">
        <v>46</v>
      </c>
    </row>
    <row r="9" spans="3:7" x14ac:dyDescent="0.3">
      <c r="C9" s="3"/>
      <c r="D9" s="1" t="s">
        <v>28</v>
      </c>
      <c r="E9" s="1" t="s">
        <v>21</v>
      </c>
      <c r="F9" s="1" t="s">
        <v>24</v>
      </c>
      <c r="G9" s="1" t="s">
        <v>25</v>
      </c>
    </row>
    <row r="10" spans="3:7" x14ac:dyDescent="0.3">
      <c r="C10" s="3"/>
      <c r="D10" s="4"/>
    </row>
    <row r="11" spans="3:7" x14ac:dyDescent="0.3">
      <c r="C11" s="3"/>
      <c r="D11" s="4" t="s">
        <v>22</v>
      </c>
    </row>
    <row r="12" spans="3:7" x14ac:dyDescent="0.3">
      <c r="D12" s="5" t="s">
        <v>23</v>
      </c>
      <c r="F12">
        <v>8</v>
      </c>
      <c r="G12">
        <f t="shared" ref="G12:G27" si="0">E12*F12</f>
        <v>0</v>
      </c>
    </row>
    <row r="13" spans="3:7" x14ac:dyDescent="0.3">
      <c r="D13" s="5" t="s">
        <v>6</v>
      </c>
      <c r="F13">
        <v>12</v>
      </c>
      <c r="G13">
        <f t="shared" si="0"/>
        <v>0</v>
      </c>
    </row>
    <row r="14" spans="3:7" x14ac:dyDescent="0.3">
      <c r="D14" s="4" t="s">
        <v>7</v>
      </c>
      <c r="F14">
        <v>15</v>
      </c>
      <c r="G14">
        <f t="shared" si="0"/>
        <v>0</v>
      </c>
    </row>
    <row r="15" spans="3:7" x14ac:dyDescent="0.3">
      <c r="D15" s="4" t="s">
        <v>8</v>
      </c>
      <c r="F15">
        <v>20</v>
      </c>
      <c r="G15">
        <f t="shared" si="0"/>
        <v>0</v>
      </c>
    </row>
    <row r="16" spans="3:7" x14ac:dyDescent="0.3">
      <c r="D16" s="4" t="s">
        <v>9</v>
      </c>
      <c r="E16">
        <v>19</v>
      </c>
      <c r="F16">
        <v>25</v>
      </c>
      <c r="G16">
        <f t="shared" si="0"/>
        <v>475</v>
      </c>
    </row>
    <row r="17" spans="4:11" x14ac:dyDescent="0.3">
      <c r="D17" s="4" t="s">
        <v>10</v>
      </c>
      <c r="E17">
        <v>36</v>
      </c>
      <c r="F17">
        <v>30</v>
      </c>
      <c r="G17">
        <f t="shared" si="0"/>
        <v>1080</v>
      </c>
    </row>
    <row r="18" spans="4:11" x14ac:dyDescent="0.3">
      <c r="D18" s="4" t="s">
        <v>11</v>
      </c>
      <c r="E18">
        <v>0</v>
      </c>
      <c r="F18">
        <v>35</v>
      </c>
      <c r="G18">
        <f t="shared" si="0"/>
        <v>0</v>
      </c>
    </row>
    <row r="19" spans="4:11" x14ac:dyDescent="0.3">
      <c r="D19" s="4" t="s">
        <v>12</v>
      </c>
      <c r="E19">
        <v>74</v>
      </c>
      <c r="F19">
        <v>40</v>
      </c>
      <c r="G19">
        <f t="shared" si="0"/>
        <v>2960</v>
      </c>
    </row>
    <row r="20" spans="4:11" x14ac:dyDescent="0.3">
      <c r="D20" s="4" t="s">
        <v>13</v>
      </c>
      <c r="E20">
        <v>11</v>
      </c>
      <c r="F20">
        <v>50</v>
      </c>
      <c r="G20">
        <f t="shared" si="0"/>
        <v>550</v>
      </c>
    </row>
    <row r="21" spans="4:11" x14ac:dyDescent="0.3">
      <c r="D21" s="4" t="s">
        <v>14</v>
      </c>
      <c r="E21">
        <v>3</v>
      </c>
      <c r="F21">
        <v>60</v>
      </c>
      <c r="G21">
        <f t="shared" si="0"/>
        <v>180</v>
      </c>
    </row>
    <row r="22" spans="4:11" x14ac:dyDescent="0.3">
      <c r="D22" s="4" t="s">
        <v>15</v>
      </c>
      <c r="E22">
        <v>1</v>
      </c>
      <c r="F22">
        <v>70</v>
      </c>
      <c r="G22">
        <f t="shared" si="0"/>
        <v>70</v>
      </c>
    </row>
    <row r="23" spans="4:11" x14ac:dyDescent="0.3">
      <c r="D23" s="4" t="s">
        <v>16</v>
      </c>
      <c r="E23">
        <v>1</v>
      </c>
      <c r="F23">
        <v>90</v>
      </c>
      <c r="G23">
        <f t="shared" si="0"/>
        <v>90</v>
      </c>
    </row>
    <row r="24" spans="4:11" x14ac:dyDescent="0.3">
      <c r="D24" s="4" t="s">
        <v>17</v>
      </c>
      <c r="F24">
        <v>110</v>
      </c>
      <c r="G24">
        <f t="shared" si="0"/>
        <v>0</v>
      </c>
    </row>
    <row r="25" spans="4:11" x14ac:dyDescent="0.3">
      <c r="D25" s="4" t="s">
        <v>18</v>
      </c>
      <c r="F25">
        <v>130</v>
      </c>
      <c r="G25">
        <f t="shared" si="0"/>
        <v>0</v>
      </c>
    </row>
    <row r="26" spans="4:11" x14ac:dyDescent="0.3">
      <c r="D26" s="4" t="s">
        <v>19</v>
      </c>
      <c r="F26">
        <v>150</v>
      </c>
      <c r="G26">
        <f t="shared" si="0"/>
        <v>0</v>
      </c>
    </row>
    <row r="27" spans="4:11" x14ac:dyDescent="0.3">
      <c r="D27" s="4" t="s">
        <v>20</v>
      </c>
      <c r="F27">
        <v>200</v>
      </c>
      <c r="G27">
        <f t="shared" si="0"/>
        <v>0</v>
      </c>
    </row>
    <row r="29" spans="4:11" ht="43.2" x14ac:dyDescent="0.3">
      <c r="D29" s="7" t="s">
        <v>27</v>
      </c>
      <c r="E29" s="7">
        <f>SUM(E10:E27)</f>
        <v>145</v>
      </c>
      <c r="F29" s="8" t="s">
        <v>29</v>
      </c>
      <c r="G29" s="7">
        <f>SUM(G10:G27)</f>
        <v>5405</v>
      </c>
    </row>
    <row r="32" spans="4:11" ht="58.2" thickBot="1" x14ac:dyDescent="0.35">
      <c r="H32" s="8" t="s">
        <v>31</v>
      </c>
      <c r="I32" s="8" t="s">
        <v>32</v>
      </c>
      <c r="J32" s="8" t="s">
        <v>33</v>
      </c>
      <c r="K32" s="11" t="s">
        <v>34</v>
      </c>
    </row>
    <row r="33" spans="2:11" ht="43.8" thickBot="1" x14ac:dyDescent="0.35">
      <c r="F33" s="8" t="s">
        <v>30</v>
      </c>
      <c r="G33" s="6">
        <f>G29/E29</f>
        <v>37.275862068965516</v>
      </c>
      <c r="H33" s="12">
        <v>2.2400000000000002</v>
      </c>
      <c r="I33" s="6">
        <f>G33*H33</f>
        <v>83.497931034482761</v>
      </c>
      <c r="J33" s="15">
        <v>0.625</v>
      </c>
      <c r="K33" s="16">
        <f>I33*J33</f>
        <v>52.186206896551724</v>
      </c>
    </row>
    <row r="35" spans="2:11" ht="43.2" x14ac:dyDescent="0.3">
      <c r="C35" s="8" t="s">
        <v>35</v>
      </c>
      <c r="D35" s="8" t="s">
        <v>37</v>
      </c>
      <c r="E35" s="8" t="s">
        <v>38</v>
      </c>
      <c r="F35" s="7" t="s">
        <v>39</v>
      </c>
      <c r="K35" s="11"/>
    </row>
    <row r="36" spans="2:11" x14ac:dyDescent="0.3">
      <c r="C36" s="13">
        <v>1.83</v>
      </c>
      <c r="D36" s="14">
        <f>E29*C36</f>
        <v>265.35000000000002</v>
      </c>
      <c r="E36" s="6">
        <v>20</v>
      </c>
      <c r="F36" s="6">
        <f>D36+E36</f>
        <v>285.35000000000002</v>
      </c>
    </row>
    <row r="38" spans="2:11" x14ac:dyDescent="0.3">
      <c r="B38" s="8" t="s">
        <v>36</v>
      </c>
    </row>
    <row r="39" spans="2:11" ht="15" thickBot="1" x14ac:dyDescent="0.35"/>
    <row r="40" spans="2:11" ht="29.4" thickBot="1" x14ac:dyDescent="0.35">
      <c r="C40" s="10" t="s">
        <v>40</v>
      </c>
      <c r="D40" s="16">
        <f>F36/J33</f>
        <v>456.56000000000006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21 BOX</vt:lpstr>
      <vt:lpstr>24 BOX</vt:lpstr>
      <vt:lpstr>15 BOX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JARVIS</dc:creator>
  <cp:lastModifiedBy>JARVIS</cp:lastModifiedBy>
  <dcterms:created xsi:type="dcterms:W3CDTF">2025-09-27T08:22:27Z</dcterms:created>
  <dcterms:modified xsi:type="dcterms:W3CDTF">2025-10-07T13:30:52Z</dcterms:modified>
</cp:coreProperties>
</file>